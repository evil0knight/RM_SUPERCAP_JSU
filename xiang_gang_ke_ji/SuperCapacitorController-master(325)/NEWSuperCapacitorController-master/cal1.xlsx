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864"/>
  </bookViews>
  <sheets>
    <sheet name="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<sst xmlns="http://schemas.openxmlformats.org/spreadsheetml/2006/main" count="9" uniqueCount="9">
  <si>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real data</t>
  </si>
  <si>
    <t>adc value</t>
  </si>
  <si>
    <t>k</t>
  </si>
  <si>
    <t>b</t>
  </si>
  <si>
    <t>VASide</t>
  </si>
  <si>
    <t>VBSide</t>
  </si>
  <si>
    <t>IAConvert</t>
  </si>
  <si>
    <t>Ijudge</t>
  </si>
  <si>
    <t>IBConvert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</si>
</sst>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M4" sqref="M4"/>
    </sheetView>
  </sheetViews>
  <sheetFormatPr defaultColWidth="9" defaultRowHeight="13.8" outlineLevelCol="7"/>
  <cols>
    <col min="7" max="7" width="12.8888888888889"/>
  </cols>
  <sheetData>
    <row r="1" spans="1:8">
      <c r="B1" t="s">
        <v>0</v>
      </c>
      <c r="D1" t="s">
        <v>1</v>
      </c>
      <c r="G1" t="s">
        <v>2</v>
      </c>
      <c r="H1" t="s">
        <v>3</v>
      </c>
    </row>
    <row r="2" spans="1:8">
      <c r="A2" t="s">
        <v>4</v>
      </c>
      <c r="B2">
        <v>12.1</v>
      </c>
      <c r="C2">
        <v>24.1</v>
      </c>
      <c r="D2">
        <v>1502</v>
      </c>
      <c r="E2">
        <v>3014</v>
      </c>
      <c r="G2">
        <f>(B2-C2)/(D2-E2)</f>
        <v>0.00793650793650794</v>
      </c>
      <c r="H2">
        <f>B2-G2*D2</f>
        <v>0.179365079365077</v>
      </c>
    </row>
    <row r="3" spans="1:8">
      <c r="A3" t="s">
        <v>5</v>
      </c>
      <c r="B3">
        <v>12</v>
      </c>
      <c r="C3">
        <v>28.8</v>
      </c>
      <c r="D3">
        <v>1503</v>
      </c>
      <c r="E3">
        <v>3591</v>
      </c>
      <c r="G3">
        <f t="shared" ref="G3:G14" si="0">(B3-C3)/(D3-E3)</f>
        <v>0.00804597701149425</v>
      </c>
      <c r="H3">
        <f t="shared" ref="H3:H14" si="1">B3-G3*D3</f>
        <v>-0.0931034482758619</v>
      </c>
    </row>
    <row r="5" spans="1:8">
      <c r="A5" t="s">
        <v>6</v>
      </c>
      <c r="B5">
        <v>1</v>
      </c>
      <c r="C5">
        <v>8</v>
      </c>
      <c r="D5">
        <v>1995.4</v>
      </c>
      <c r="E5">
        <v>1648.7</v>
      </c>
      <c r="G5">
        <f t="shared" ref="G5:G7" si="2">(B5-C5)/(D5-E5)</f>
        <v>-0.0201903663109316</v>
      </c>
      <c r="H5">
        <f t="shared" ref="H5:H6" si="3">B5-G5*D5</f>
        <v>41.287856936833</v>
      </c>
    </row>
    <row r="6" spans="1:8">
      <c r="A6" t="s">
        <v>7</v>
      </c>
      <c r="B6">
        <v>1</v>
      </c>
      <c r="C6">
        <v>8</v>
      </c>
      <c r="D6">
        <v>1994.3</v>
      </c>
      <c r="E6">
        <v>1647.9</v>
      </c>
      <c r="G6">
        <f t="shared" si="2"/>
        <v>-0.0202078521939954</v>
      </c>
      <c r="H6">
        <f t="shared" si="3"/>
        <v>41.300519630485</v>
      </c>
    </row>
    <row r="7" spans="1:8">
      <c r="A7" t="s">
        <v>8</v>
      </c>
      <c r="B7">
        <v>1</v>
      </c>
      <c r="C7">
        <v>8</v>
      </c>
      <c r="D7">
        <v>1994.6</v>
      </c>
      <c r="E7">
        <v>1648.4</v>
      </c>
      <c r="G7">
        <f t="shared" si="2"/>
        <v>-0.0202195262853842</v>
      </c>
      <c r="H7">
        <f t="shared" si="1"/>
        <v>41.3298671288273</v>
      </c>
    </row>
    <row r="8" spans="1:8">
      <c r="G8" t="e">
        <f t="shared" si="0"/>
        <v>#DIV/0!</v>
      </c>
      <c r="H8" t="e">
        <f t="shared" si="1"/>
        <v>#DIV/0!</v>
      </c>
    </row>
    <row r="9" spans="1:8">
      <c r="G9" t="e">
        <f t="shared" si="0"/>
        <v>#DIV/0!</v>
      </c>
      <c r="H9" t="e">
        <f t="shared" si="1"/>
        <v>#DIV/0!</v>
      </c>
    </row>
    <row r="10" spans="1:8">
      <c r="G10" t="e">
        <f t="shared" si="0"/>
        <v>#DIV/0!</v>
      </c>
      <c r="H10" t="e">
        <f t="shared" si="1"/>
        <v>#DIV/0!</v>
      </c>
    </row>
    <row r="11" spans="1:8">
      <c r="G11" t="e">
        <f t="shared" si="0"/>
        <v>#DIV/0!</v>
      </c>
      <c r="H11" t="e">
        <f t="shared" si="1"/>
        <v>#DIV/0!</v>
      </c>
    </row>
    <row r="12" spans="1:8">
      <c r="G12" t="e">
        <f t="shared" si="0"/>
        <v>#DIV/0!</v>
      </c>
      <c r="H12" t="e">
        <f t="shared" si="1"/>
        <v>#DIV/0!</v>
      </c>
    </row>
    <row r="13" spans="1:8">
      <c r="G13" t="e">
        <f t="shared" si="0"/>
        <v>#DIV/0!</v>
      </c>
      <c r="H13" t="e">
        <f t="shared" si="1"/>
        <v>#DIV/0!</v>
      </c>
    </row>
    <row r="14" spans="1:8">
      <c r="G14" t="e">
        <f t="shared" si="0"/>
        <v>#DIV/0!</v>
      </c>
      <c r="H14" t="e">
        <f t="shared" si="1"/>
        <v>#DIV/0!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EthenJ</dc:creator>
  <cp:lastModifiedBy>WYD</cp:lastModifiedBy>
  <dcterms:created xsi:type="dcterms:W3CDTF">2015-06-05T18:19:00Z</dcterms:created>
  <dcterms:modified xsi:type="dcterms:W3CDTF">2025-11-12T12:12:54Z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A83B17EB052E41D88642CE8D3E4F05CB_13</vt:lpwstr>
  </property>
  <property fmtid="{D5CDD505-2E9C-101B-9397-08002B2CF9AE}" pid="3" name="KSOProductBuildVer">
    <vt:lpwstr>2052-12.1.0.23542</vt:lpwstr>
  </property>
</Properties>
</file>